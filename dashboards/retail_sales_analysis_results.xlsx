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8a12d012a34f6907/Desktop/project_1/dashboards/"/>
    </mc:Choice>
  </mc:AlternateContent>
  <xr:revisionPtr revIDLastSave="1" documentId="13_ncr:1_{FAA527E6-7BC2-41DC-B603-D1388882E36E}" xr6:coauthVersionLast="47" xr6:coauthVersionMax="47" xr10:uidLastSave="{DB6DB08B-F790-40FA-98FA-D87BD8228BA6}"/>
  <bookViews>
    <workbookView xWindow="-108" yWindow="-108" windowWidth="23256" windowHeight="13176" xr2:uid="{00000000-000D-0000-FFFF-FFFF00000000}"/>
  </bookViews>
  <sheets>
    <sheet name="dashboard" sheetId="2" r:id="rId1"/>
    <sheet name="Overall Trend" sheetId="1" r:id="rId2"/>
    <sheet name="Value Volume Gap" sheetId="3" r:id="rId3"/>
    <sheet name="Top 5 Sectors" sheetId="4" r:id="rId4"/>
    <sheet name="Bottom 5 Sectors" sheetId="5" r:id="rId5"/>
    <sheet name="Value Growth" sheetId="6" r:id="rId6"/>
    <sheet name="Volume Growth" sheetId="7" r:id="rId7"/>
    <sheet name="Growth Comparison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2" l="1"/>
  <c r="G6" i="2"/>
  <c r="G5" i="2"/>
  <c r="E5" i="2"/>
  <c r="C5" i="2"/>
</calcChain>
</file>

<file path=xl/sharedStrings.xml><?xml version="1.0" encoding="utf-8"?>
<sst xmlns="http://schemas.openxmlformats.org/spreadsheetml/2006/main" count="76" uniqueCount="34">
  <si>
    <t>Ireland Retail Sales Analysis Dashboard (2021–2025)</t>
  </si>
  <si>
    <t>Latest Value Index</t>
  </si>
  <si>
    <t>Latest Volume Index</t>
  </si>
  <si>
    <t>Latest Value-Volume Gap</t>
  </si>
  <si>
    <t>Top Sector</t>
  </si>
  <si>
    <t>year</t>
  </si>
  <si>
    <t>statistic_label</t>
  </si>
  <si>
    <t>index_value</t>
  </si>
  <si>
    <t>Retail Sales Index Value Unadjusted</t>
  </si>
  <si>
    <t>Retail Sales Index Volume Unadjusted</t>
  </si>
  <si>
    <t>value_index</t>
  </si>
  <si>
    <t>volume_index</t>
  </si>
  <si>
    <t>value_volume_gap</t>
  </si>
  <si>
    <t>retail_sector</t>
  </si>
  <si>
    <t>Bars (5630)</t>
  </si>
  <si>
    <t>Motor trades (45)</t>
  </si>
  <si>
    <t>Retail sale of automotive fuel (4730)</t>
  </si>
  <si>
    <t>Retail sale of furniture and lighting (4759)</t>
  </si>
  <si>
    <t>Department stores (4719)</t>
  </si>
  <si>
    <t>Retail sale of hardware, paints and glass (4752)</t>
  </si>
  <si>
    <t>Retail sale in non-specialised stores with food, beverages or tobacco predominating (4711)</t>
  </si>
  <si>
    <t>first_year_index</t>
  </si>
  <si>
    <t>latest_year_index</t>
  </si>
  <si>
    <t>growth_index_points</t>
  </si>
  <si>
    <t>first_year_volume</t>
  </si>
  <si>
    <t>latest_year_volume</t>
  </si>
  <si>
    <t>volume_growth_points</t>
  </si>
  <si>
    <t>value_growth_points</t>
  </si>
  <si>
    <t>growth_gap</t>
  </si>
  <si>
    <t>Key Insights</t>
  </si>
  <si>
    <t>1. Overall Irish retail sales value and volume both increased compared with the 2021 base year.</t>
  </si>
  <si>
    <t>2. The value index is higher than the volume index, suggesting that sales value grew faster than actual goods sold.</t>
  </si>
  <si>
    <t>3. The top-performing sector shows stronger value growth compared with other individual retail sectors.</t>
  </si>
  <si>
    <t>4. Some sectors show a clear gap between value growth and volume growth, which may indicate price effects or changing consumer behaviour.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</si>
</sst>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4" fillId="0" borderId="0" xfId="0" applyFont="1" applyAlignment="1">
      <alignment horizont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/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/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6" fillId="5" borderId="2" xfId="0" applyFont="1" applyFill="1" applyBorder="1" applyAlignment="1">
      <alignment horizontal="center"/>
    </xf>
    <xf numFmtId="0" fontId="6" fillId="5" borderId="2" xfId="0" applyFont="1" applyFill="1" applyBorder="1"/>
    <xf numFmtId="0" fontId="4" fillId="4" borderId="2" xfId="0" applyFont="1" applyFill="1" applyBorder="1" applyAlignment="1">
      <alignment horizontal="center"/>
    </xf>
    <xf numFmtId="0" fontId="5" fillId="4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ECFF"/>
      <color rgb="FF99FF99"/>
      <color rgb="FFCC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Value Growth vs Volume Growth by Sector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'Growth Comparison'!$B$1</c:f>
              <c:strCache>
                <c:ptCount val="1"/>
                <c:pt idx="0">
                  <c:v>value_growth_points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'Growth Comparison'!$A$2:$A$8</c:f>
              <c:strCache>
                <c:ptCount val="7"/>
                <c:pt idx="0">
                  <c:v>Bars (5630)</c:v>
                </c:pt>
                <c:pt idx="1">
                  <c:v>Retail sale in non-specialised stores with food, beverages or tobacco predominating (4711)</c:v>
                </c:pt>
                <c:pt idx="2">
                  <c:v>Retail sale of automotive fuel (4730)</c:v>
                </c:pt>
                <c:pt idx="3">
                  <c:v>Motor trades (45)</c:v>
                </c:pt>
                <c:pt idx="4">
                  <c:v>Retail sale of hardware, paints and glass (4752)</c:v>
                </c:pt>
                <c:pt idx="5">
                  <c:v>Department stores (4719)</c:v>
                </c:pt>
                <c:pt idx="6">
                  <c:v>Retail sale of furniture and lighting (4759)</c:v>
                </c:pt>
              </c:strCache>
            </c:strRef>
          </c:cat>
          <c:val>
            <c:numRef>
              <c:f>'Growth Comparison'!$B$2:$B$8</c:f>
              <c:numCache>
                <c:formatCode>General</c:formatCode>
                <c:ptCount val="7"/>
                <c:pt idx="0">
                  <c:v>125</c:v>
                </c:pt>
                <c:pt idx="1">
                  <c:v>17.899999999999999</c:v>
                </c:pt>
                <c:pt idx="2">
                  <c:v>24.7</c:v>
                </c:pt>
                <c:pt idx="3">
                  <c:v>32.5</c:v>
                </c:pt>
                <c:pt idx="4">
                  <c:v>6.6</c:v>
                </c:pt>
                <c:pt idx="5">
                  <c:v>20.5</c:v>
                </c:pt>
                <c:pt idx="6">
                  <c:v>21.2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6F-4389-A142-3450B728CCAC}"/>
            </c:ext>
          </c:extLst>
        </c:ser>
        <c:ser>
          <c:idx val="1"/>
          <c:order val="1"/>
          <c:tx>
            <c:strRef>
              <c:f>'Growth Comparison'!$C$1</c:f>
              <c:strCache>
                <c:ptCount val="1"/>
                <c:pt idx="0">
                  <c:v>volume_growth_points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'Growth Comparison'!$A$2:$A$8</c:f>
              <c:strCache>
                <c:ptCount val="7"/>
                <c:pt idx="0">
                  <c:v>Bars (5630)</c:v>
                </c:pt>
                <c:pt idx="1">
                  <c:v>Retail sale in non-specialised stores with food, beverages or tobacco predominating (4711)</c:v>
                </c:pt>
                <c:pt idx="2">
                  <c:v>Retail sale of automotive fuel (4730)</c:v>
                </c:pt>
                <c:pt idx="3">
                  <c:v>Motor trades (45)</c:v>
                </c:pt>
                <c:pt idx="4">
                  <c:v>Retail sale of hardware, paints and glass (4752)</c:v>
                </c:pt>
                <c:pt idx="5">
                  <c:v>Department stores (4719)</c:v>
                </c:pt>
                <c:pt idx="6">
                  <c:v>Retail sale of furniture and lighting (4759)</c:v>
                </c:pt>
              </c:strCache>
            </c:strRef>
          </c:cat>
          <c:val>
            <c:numRef>
              <c:f>'Growth Comparison'!$C$2:$C$8</c:f>
              <c:numCache>
                <c:formatCode>General</c:formatCode>
                <c:ptCount val="7"/>
                <c:pt idx="0">
                  <c:v>84.3</c:v>
                </c:pt>
                <c:pt idx="1">
                  <c:v>-2.9</c:v>
                </c:pt>
                <c:pt idx="2">
                  <c:v>4.5999999999999996</c:v>
                </c:pt>
                <c:pt idx="3">
                  <c:v>16.899999999999999</c:v>
                </c:pt>
                <c:pt idx="4">
                  <c:v>-2.2000000000000002</c:v>
                </c:pt>
                <c:pt idx="5">
                  <c:v>12.6</c:v>
                </c:pt>
                <c:pt idx="6">
                  <c:v>22.9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6F-4389-A142-3450B728C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0359696"/>
        <c:axId val="460364016"/>
      </c:barChart>
      <c:catAx>
        <c:axId val="46035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64016"/>
        <c:crosses val="autoZero"/>
        <c:auto val="1"/>
        <c:lblAlgn val="ctr"/>
        <c:lblOffset val="100"/>
        <c:noMultiLvlLbl val="0"/>
      </c:catAx>
      <c:valAx>
        <c:axId val="46036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35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Overall Retail Value vs Volume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'Value Volume Gap'!$B$1</c:f>
              <c:strCache>
                <c:ptCount val="1"/>
                <c:pt idx="0">
                  <c:v>value_index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'Value Volume Gap'!$A$2:$A$6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'Value Volume Gap'!$B$2:$B$6</c:f>
              <c:numCache>
                <c:formatCode>General</c:formatCode>
                <c:ptCount val="5"/>
                <c:pt idx="0">
                  <c:v>100</c:v>
                </c:pt>
                <c:pt idx="1">
                  <c:v>113.3</c:v>
                </c:pt>
                <c:pt idx="2">
                  <c:v>122.2</c:v>
                </c:pt>
                <c:pt idx="3">
                  <c:v>123.6</c:v>
                </c:pt>
                <c:pt idx="4">
                  <c:v>126.9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22-42E5-A6D5-5023E8D847CD}"/>
            </c:ext>
          </c:extLst>
        </c:ser>
        <c:ser>
          <c:idx val="2"/>
          <c:order val="2"/>
          <c:tx>
            <c:strRef>
              <c:f>'Value Volume Gap'!$C$1</c:f>
              <c:strCache>
                <c:ptCount val="1"/>
                <c:pt idx="0">
                  <c:v>volume_index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'Value Volume Gap'!$A$2:$A$6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'Value Volume Gap'!$C$2:$C$6</c:f>
              <c:numCache>
                <c:formatCode>General</c:formatCode>
                <c:ptCount val="5"/>
                <c:pt idx="0">
                  <c:v>100</c:v>
                </c:pt>
                <c:pt idx="1">
                  <c:v>107.4</c:v>
                </c:pt>
                <c:pt idx="2">
                  <c:v>112.2</c:v>
                </c:pt>
                <c:pt idx="3">
                  <c:v>112.8</c:v>
                </c:pt>
                <c:pt idx="4">
                  <c:v>115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22-42E5-A6D5-5023E8D84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4418319"/>
        <c:axId val="29442167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'Value Volume Gap'!$A$1</c15:sqref>
                        </c15:formulaRef>
                      </c:ext>
                    </c:extLst>
                    <c:strCache>
                      <c:ptCount val="1"/>
                      <c:pt idx="0">
                        <c:v>year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'Value Volume Gap'!$A$2:$A$6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'Value Volume Gap'!$A$2:$A$6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2021</c:v>
                      </c:pt>
                      <c:pt idx="1">
                        <c:v>2022</c:v>
                      </c:pt>
                      <c:pt idx="2">
                        <c:v>2023</c:v>
                      </c:pt>
                      <c:pt idx="3">
                        <c:v>2024</c:v>
                      </c:pt>
                      <c:pt idx="4">
                        <c:v>2025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2A22-42E5-A6D5-5023E8D847CD}"/>
                  </c:ext>
                </c:extLst>
              </c15:ser>
            </c15:filteredLineSeries>
          </c:ext>
        </c:extLst>
      </c:lineChart>
      <c:catAx>
        <c:axId val="294418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21679"/>
        <c:crosses val="autoZero"/>
        <c:auto val="1"/>
        <c:lblAlgn val="ctr"/>
        <c:lblOffset val="100"/>
        <c:noMultiLvlLbl val="0"/>
      </c:catAx>
      <c:valAx>
        <c:axId val="29442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44183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5 Retail Sectors by Value Index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5 Sectors'!$C$1</c:f>
              <c:strCache>
                <c:ptCount val="1"/>
                <c:pt idx="0">
                  <c:v>value_index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5 Sectors'!$A$2:$A$6</c:f>
              <c:strCache>
                <c:ptCount val="5"/>
                <c:pt idx="0">
                  <c:v>Bars (5630)</c:v>
                </c:pt>
                <c:pt idx="1">
                  <c:v>Motor trades (45)</c:v>
                </c:pt>
                <c:pt idx="2">
                  <c:v>Retail sale of automotive fuel (4730)</c:v>
                </c:pt>
                <c:pt idx="3">
                  <c:v>Retail sale of furniture and lighting (4759)</c:v>
                </c:pt>
                <c:pt idx="4">
                  <c:v>Department stores (4719)</c:v>
                </c:pt>
              </c:strCache>
            </c:strRef>
          </c:cat>
          <c:val>
            <c:numRef>
              <c:f>'Top 5 Sectors'!$C$2:$C$6</c:f>
              <c:numCache>
                <c:formatCode>General</c:formatCode>
                <c:ptCount val="5"/>
                <c:pt idx="0">
                  <c:v>225</c:v>
                </c:pt>
                <c:pt idx="1">
                  <c:v>132.5</c:v>
                </c:pt>
                <c:pt idx="2">
                  <c:v>124.7</c:v>
                </c:pt>
                <c:pt idx="3">
                  <c:v>121.2</c:v>
                </c:pt>
                <c:pt idx="4">
                  <c:v>120.5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5D-4FBF-838B-C7F056C47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9117391"/>
        <c:axId val="219119311"/>
      </c:barChart>
      <c:catAx>
        <c:axId val="219117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19311"/>
        <c:crosses val="autoZero"/>
        <c:auto val="1"/>
        <c:lblAlgn val="ctr"/>
        <c:lblOffset val="100"/>
        <c:noMultiLvlLbl val="0"/>
      </c:catAx>
      <c:valAx>
        <c:axId val="21911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11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8</xdr:col>
      <xdr:colOff>15240</xdr:colOff>
      <xdr:row>36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D21216-DDE3-4CB5-BFED-8BD622E957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</xdr:row>
      <xdr:rowOff>0</xdr:rowOff>
    </xdr:from>
    <xdr:to>
      <xdr:col>4</xdr:col>
      <xdr:colOff>22860</xdr:colOff>
      <xdr:row>20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AD30BC-A706-4EBA-A565-A0EED8F909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8</xdr:row>
      <xdr:rowOff>0</xdr:rowOff>
    </xdr:from>
    <xdr:to>
      <xdr:col>8</xdr:col>
      <xdr:colOff>60960</xdr:colOff>
      <xdr:row>20</xdr:row>
      <xdr:rowOff>30480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1602C9-9E1D-49A6-90EE-54FB0217CB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3"/>
  <sheetViews>
    <sheetView showGridLines="0" tabSelected="1" topLeftCell="A26" workbookViewId="0">
      <selection activeCell="L35" sqref="L35"/>
    </sheetView>
  </sheetViews>
  <sheetFormatPr defaultRowHeight="14.4" x14ac:dyDescent="0.3"/>
  <cols>
    <col min="1" max="8" width="15.77734375" customWidth="1"/>
  </cols>
  <sheetData>
    <row r="1" spans="1:13" ht="30" customHeight="1" x14ac:dyDescent="0.3">
      <c r="A1" s="12" t="s">
        <v>0</v>
      </c>
      <c r="B1" s="13"/>
      <c r="C1" s="13"/>
      <c r="D1" s="13"/>
      <c r="E1" s="13"/>
      <c r="F1" s="13"/>
      <c r="G1" s="13"/>
      <c r="H1" s="13"/>
    </row>
    <row r="2" spans="1:13" ht="30" customHeight="1" x14ac:dyDescent="0.3">
      <c r="A2" s="13"/>
      <c r="B2" s="13"/>
      <c r="C2" s="13"/>
      <c r="D2" s="13"/>
      <c r="E2" s="13"/>
      <c r="F2" s="13"/>
      <c r="G2" s="13"/>
      <c r="H2" s="13"/>
    </row>
    <row r="4" spans="1:13" x14ac:dyDescent="0.3">
      <c r="A4" s="20" t="s">
        <v>1</v>
      </c>
      <c r="B4" s="21"/>
      <c r="C4" s="14" t="s">
        <v>2</v>
      </c>
      <c r="D4" s="15"/>
      <c r="E4" s="24" t="s">
        <v>3</v>
      </c>
      <c r="F4" s="25"/>
      <c r="G4" s="22" t="s">
        <v>4</v>
      </c>
      <c r="H4" s="23"/>
    </row>
    <row r="5" spans="1:13" ht="18" x14ac:dyDescent="0.35">
      <c r="A5" s="28">
        <f>'Value Volume Gap'!B6</f>
        <v>126.9</v>
      </c>
      <c r="B5" s="29"/>
      <c r="C5" s="26">
        <f>'Value Volume Gap'!C6</f>
        <v>115</v>
      </c>
      <c r="D5" s="27"/>
      <c r="E5" s="32">
        <f>'Value Volume Gap'!D6</f>
        <v>11.9</v>
      </c>
      <c r="F5" s="33"/>
      <c r="G5" s="30" t="str">
        <f>'Top 5 Sectors'!A2</f>
        <v>Bars (5630)</v>
      </c>
      <c r="H5" s="31"/>
    </row>
    <row r="6" spans="1:13" ht="18" x14ac:dyDescent="0.35">
      <c r="G6" s="10">
        <f>'Top 5 Sectors'!C2</f>
        <v>225</v>
      </c>
      <c r="H6" s="11"/>
      <c r="M6" s="3"/>
    </row>
    <row r="38" spans="1:9" ht="18" x14ac:dyDescent="0.35">
      <c r="A38" s="16" t="s">
        <v>29</v>
      </c>
      <c r="B38" s="16"/>
      <c r="C38" s="16"/>
      <c r="D38" s="16"/>
      <c r="E38" s="16"/>
      <c r="F38" s="16"/>
      <c r="G38" s="16"/>
      <c r="H38" s="16"/>
    </row>
    <row r="40" spans="1:9" ht="25.05" customHeight="1" x14ac:dyDescent="0.3">
      <c r="A40" s="17" t="s">
        <v>30</v>
      </c>
      <c r="B40" s="18"/>
      <c r="C40" s="18"/>
      <c r="D40" s="18"/>
      <c r="E40" s="18"/>
      <c r="F40" s="18"/>
      <c r="G40" s="18"/>
      <c r="H40" s="18"/>
      <c r="I40" s="19"/>
    </row>
    <row r="41" spans="1:9" ht="25.05" customHeight="1" x14ac:dyDescent="0.3">
      <c r="A41" s="4" t="s">
        <v>31</v>
      </c>
      <c r="B41" s="5"/>
      <c r="C41" s="5"/>
      <c r="D41" s="5"/>
      <c r="E41" s="5"/>
      <c r="F41" s="5"/>
      <c r="G41" s="5"/>
      <c r="H41" s="5"/>
      <c r="I41" s="6"/>
    </row>
    <row r="42" spans="1:9" ht="25.05" customHeight="1" x14ac:dyDescent="0.3">
      <c r="A42" s="4" t="s">
        <v>32</v>
      </c>
      <c r="B42" s="5"/>
      <c r="C42" s="5"/>
      <c r="D42" s="5"/>
      <c r="E42" s="5"/>
      <c r="F42" s="5"/>
      <c r="G42" s="5"/>
      <c r="H42" s="5"/>
      <c r="I42" s="6"/>
    </row>
    <row r="43" spans="1:9" ht="25.05" customHeight="1" x14ac:dyDescent="0.3">
      <c r="A43" s="7" t="s">
        <v>33</v>
      </c>
      <c r="B43" s="8"/>
      <c r="C43" s="8"/>
      <c r="D43" s="8"/>
      <c r="E43" s="8"/>
      <c r="F43" s="8"/>
      <c r="G43" s="8"/>
      <c r="H43" s="8"/>
      <c r="I43" s="9"/>
    </row>
  </sheetData>
  <mergeCells count="15">
    <mergeCell ref="A41:I41"/>
    <mergeCell ref="A42:I42"/>
    <mergeCell ref="A43:I43"/>
    <mergeCell ref="G6:H6"/>
    <mergeCell ref="A1:H2"/>
    <mergeCell ref="C4:D4"/>
    <mergeCell ref="A38:H38"/>
    <mergeCell ref="A40:I40"/>
    <mergeCell ref="A4:B4"/>
    <mergeCell ref="G4:H4"/>
    <mergeCell ref="E4:F4"/>
    <mergeCell ref="C5:D5"/>
    <mergeCell ref="A5:B5"/>
    <mergeCell ref="G5:H5"/>
    <mergeCell ref="E5:F5"/>
  </mergeCells>
  <pageMargins left="0.7" right="0.7" top="0.75" bottom="0.75" header="0.3" footer="0.3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/>
  </sheetViews>
  <sheetFormatPr defaultRowHeight="14.4" x14ac:dyDescent="0.3"/>
  <sheetData>
    <row r="1" spans="1:3" x14ac:dyDescent="0.3">
      <c r="A1" s="1" t="s">
        <v>5</v>
      </c>
      <c r="B1" s="1" t="s">
        <v>6</v>
      </c>
      <c r="C1" s="1" t="s">
        <v>7</v>
      </c>
    </row>
    <row r="2" spans="1:3" x14ac:dyDescent="0.3">
      <c r="A2">
        <v>2021</v>
      </c>
      <c r="B2" t="s">
        <v>8</v>
      </c>
      <c r="C2">
        <v>100</v>
      </c>
    </row>
    <row r="3" spans="1:3" x14ac:dyDescent="0.3">
      <c r="A3">
        <v>2022</v>
      </c>
      <c r="B3" t="s">
        <v>8</v>
      </c>
      <c r="C3">
        <v>113.3</v>
      </c>
    </row>
    <row r="4" spans="1:3" x14ac:dyDescent="0.3">
      <c r="A4">
        <v>2023</v>
      </c>
      <c r="B4" t="s">
        <v>8</v>
      </c>
      <c r="C4">
        <v>122.2</v>
      </c>
    </row>
    <row r="5" spans="1:3" x14ac:dyDescent="0.3">
      <c r="A5">
        <v>2024</v>
      </c>
      <c r="B5" t="s">
        <v>8</v>
      </c>
      <c r="C5">
        <v>123.6</v>
      </c>
    </row>
    <row r="6" spans="1:3" x14ac:dyDescent="0.3">
      <c r="A6">
        <v>2025</v>
      </c>
      <c r="B6" t="s">
        <v>8</v>
      </c>
      <c r="C6">
        <v>126.9</v>
      </c>
    </row>
    <row r="7" spans="1:3" x14ac:dyDescent="0.3">
      <c r="A7">
        <v>2021</v>
      </c>
      <c r="B7" t="s">
        <v>9</v>
      </c>
      <c r="C7">
        <v>100</v>
      </c>
    </row>
    <row r="8" spans="1:3" x14ac:dyDescent="0.3">
      <c r="A8">
        <v>2022</v>
      </c>
      <c r="B8" t="s">
        <v>9</v>
      </c>
      <c r="C8">
        <v>107.4</v>
      </c>
    </row>
    <row r="9" spans="1:3" x14ac:dyDescent="0.3">
      <c r="A9">
        <v>2023</v>
      </c>
      <c r="B9" t="s">
        <v>9</v>
      </c>
      <c r="C9">
        <v>112.2</v>
      </c>
    </row>
    <row r="10" spans="1:3" x14ac:dyDescent="0.3">
      <c r="A10">
        <v>2024</v>
      </c>
      <c r="B10" t="s">
        <v>9</v>
      </c>
      <c r="C10">
        <v>112.8</v>
      </c>
    </row>
    <row r="11" spans="1:3" x14ac:dyDescent="0.3">
      <c r="A11">
        <v>2025</v>
      </c>
      <c r="B11" t="s">
        <v>9</v>
      </c>
      <c r="C11">
        <v>115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S14" sqref="S14"/>
    </sheetView>
  </sheetViews>
  <sheetFormatPr defaultRowHeight="14.4" x14ac:dyDescent="0.3"/>
  <sheetData>
    <row r="1" spans="1:4" x14ac:dyDescent="0.3">
      <c r="A1" s="1" t="s">
        <v>5</v>
      </c>
      <c r="B1" s="1" t="s">
        <v>10</v>
      </c>
      <c r="C1" s="1" t="s">
        <v>11</v>
      </c>
      <c r="D1" s="1" t="s">
        <v>12</v>
      </c>
    </row>
    <row r="2" spans="1:4" x14ac:dyDescent="0.3">
      <c r="A2">
        <v>2021</v>
      </c>
      <c r="B2">
        <v>100</v>
      </c>
      <c r="C2">
        <v>100</v>
      </c>
      <c r="D2">
        <v>0</v>
      </c>
    </row>
    <row r="3" spans="1:4" x14ac:dyDescent="0.3">
      <c r="A3">
        <v>2022</v>
      </c>
      <c r="B3">
        <v>113.3</v>
      </c>
      <c r="C3">
        <v>107.4</v>
      </c>
      <c r="D3">
        <v>5.9</v>
      </c>
    </row>
    <row r="4" spans="1:4" x14ac:dyDescent="0.3">
      <c r="A4">
        <v>2023</v>
      </c>
      <c r="B4">
        <v>122.2</v>
      </c>
      <c r="C4">
        <v>112.2</v>
      </c>
      <c r="D4">
        <v>10</v>
      </c>
    </row>
    <row r="5" spans="1:4" x14ac:dyDescent="0.3">
      <c r="A5">
        <v>2024</v>
      </c>
      <c r="B5">
        <v>123.6</v>
      </c>
      <c r="C5">
        <v>112.8</v>
      </c>
      <c r="D5">
        <v>10.8</v>
      </c>
    </row>
    <row r="6" spans="1:4" x14ac:dyDescent="0.3">
      <c r="A6">
        <v>2025</v>
      </c>
      <c r="B6">
        <v>126.9</v>
      </c>
      <c r="C6">
        <v>115</v>
      </c>
      <c r="D6">
        <v>11.9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selection activeCell="S8" sqref="S8"/>
    </sheetView>
  </sheetViews>
  <sheetFormatPr defaultRowHeight="14.4" x14ac:dyDescent="0.3"/>
  <sheetData>
    <row r="1" spans="1:3" x14ac:dyDescent="0.3">
      <c r="A1" s="1" t="s">
        <v>13</v>
      </c>
      <c r="B1" s="1" t="s">
        <v>5</v>
      </c>
      <c r="C1" s="1" t="s">
        <v>10</v>
      </c>
    </row>
    <row r="2" spans="1:3" x14ac:dyDescent="0.3">
      <c r="A2" t="s">
        <v>14</v>
      </c>
      <c r="B2">
        <v>2025</v>
      </c>
      <c r="C2">
        <v>225</v>
      </c>
    </row>
    <row r="3" spans="1:3" x14ac:dyDescent="0.3">
      <c r="A3" t="s">
        <v>15</v>
      </c>
      <c r="B3">
        <v>2025</v>
      </c>
      <c r="C3">
        <v>132.5</v>
      </c>
    </row>
    <row r="4" spans="1:3" x14ac:dyDescent="0.3">
      <c r="A4" t="s">
        <v>16</v>
      </c>
      <c r="B4">
        <v>2025</v>
      </c>
      <c r="C4">
        <v>124.7</v>
      </c>
    </row>
    <row r="5" spans="1:3" x14ac:dyDescent="0.3">
      <c r="A5" t="s">
        <v>17</v>
      </c>
      <c r="B5">
        <v>2025</v>
      </c>
      <c r="C5">
        <v>121.2</v>
      </c>
    </row>
    <row r="6" spans="1:3" x14ac:dyDescent="0.3">
      <c r="A6" t="s">
        <v>18</v>
      </c>
      <c r="B6">
        <v>2025</v>
      </c>
      <c r="C6">
        <v>120.5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4.4" x14ac:dyDescent="0.3"/>
  <sheetData>
    <row r="1" spans="1:3" x14ac:dyDescent="0.3">
      <c r="A1" s="1" t="s">
        <v>13</v>
      </c>
      <c r="B1" s="1" t="s">
        <v>5</v>
      </c>
      <c r="C1" s="1" t="s">
        <v>10</v>
      </c>
    </row>
    <row r="2" spans="1:3" x14ac:dyDescent="0.3">
      <c r="A2" t="s">
        <v>19</v>
      </c>
      <c r="B2">
        <v>2025</v>
      </c>
      <c r="C2">
        <v>106.6</v>
      </c>
    </row>
    <row r="3" spans="1:3" x14ac:dyDescent="0.3">
      <c r="A3" t="s">
        <v>20</v>
      </c>
      <c r="B3">
        <v>2025</v>
      </c>
      <c r="C3">
        <v>117.9</v>
      </c>
    </row>
    <row r="4" spans="1:3" x14ac:dyDescent="0.3">
      <c r="A4" t="s">
        <v>18</v>
      </c>
      <c r="B4">
        <v>2025</v>
      </c>
      <c r="C4">
        <v>120.5</v>
      </c>
    </row>
    <row r="5" spans="1:3" x14ac:dyDescent="0.3">
      <c r="A5" t="s">
        <v>17</v>
      </c>
      <c r="B5">
        <v>2025</v>
      </c>
      <c r="C5">
        <v>121.2</v>
      </c>
    </row>
    <row r="6" spans="1:3" x14ac:dyDescent="0.3">
      <c r="A6" t="s">
        <v>16</v>
      </c>
      <c r="B6">
        <v>2025</v>
      </c>
      <c r="C6">
        <v>124.7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13</v>
      </c>
      <c r="B1" s="1" t="s">
        <v>21</v>
      </c>
      <c r="C1" s="1" t="s">
        <v>22</v>
      </c>
      <c r="D1" s="1" t="s">
        <v>23</v>
      </c>
    </row>
    <row r="2" spans="1:4" x14ac:dyDescent="0.3">
      <c r="A2" t="s">
        <v>14</v>
      </c>
      <c r="B2">
        <v>100</v>
      </c>
      <c r="C2">
        <v>225</v>
      </c>
      <c r="D2">
        <v>125</v>
      </c>
    </row>
    <row r="3" spans="1:4" x14ac:dyDescent="0.3">
      <c r="A3" t="s">
        <v>15</v>
      </c>
      <c r="B3">
        <v>100</v>
      </c>
      <c r="C3">
        <v>132.5</v>
      </c>
      <c r="D3">
        <v>32.5</v>
      </c>
    </row>
    <row r="4" spans="1:4" x14ac:dyDescent="0.3">
      <c r="A4" t="s">
        <v>16</v>
      </c>
      <c r="B4">
        <v>100</v>
      </c>
      <c r="C4">
        <v>124.7</v>
      </c>
      <c r="D4">
        <v>24.7</v>
      </c>
    </row>
    <row r="5" spans="1:4" x14ac:dyDescent="0.3">
      <c r="A5" t="s">
        <v>17</v>
      </c>
      <c r="B5">
        <v>100</v>
      </c>
      <c r="C5">
        <v>121.2</v>
      </c>
      <c r="D5">
        <v>21.2</v>
      </c>
    </row>
    <row r="6" spans="1:4" x14ac:dyDescent="0.3">
      <c r="A6" t="s">
        <v>18</v>
      </c>
      <c r="B6">
        <v>100</v>
      </c>
      <c r="C6">
        <v>120.5</v>
      </c>
      <c r="D6">
        <v>20.5</v>
      </c>
    </row>
    <row r="7" spans="1:4" x14ac:dyDescent="0.3">
      <c r="A7" t="s">
        <v>20</v>
      </c>
      <c r="B7">
        <v>100</v>
      </c>
      <c r="C7">
        <v>117.9</v>
      </c>
      <c r="D7">
        <v>17.899999999999999</v>
      </c>
    </row>
    <row r="8" spans="1:4" x14ac:dyDescent="0.3">
      <c r="A8" t="s">
        <v>19</v>
      </c>
      <c r="B8">
        <v>100</v>
      </c>
      <c r="C8">
        <v>106.6</v>
      </c>
      <c r="D8">
        <v>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13</v>
      </c>
      <c r="B1" s="1" t="s">
        <v>24</v>
      </c>
      <c r="C1" s="1" t="s">
        <v>25</v>
      </c>
      <c r="D1" s="1" t="s">
        <v>26</v>
      </c>
    </row>
    <row r="2" spans="1:4" x14ac:dyDescent="0.3">
      <c r="A2" t="s">
        <v>14</v>
      </c>
      <c r="B2">
        <v>100</v>
      </c>
      <c r="C2">
        <v>184.3</v>
      </c>
      <c r="D2">
        <v>84.3</v>
      </c>
    </row>
    <row r="3" spans="1:4" x14ac:dyDescent="0.3">
      <c r="A3" t="s">
        <v>17</v>
      </c>
      <c r="B3">
        <v>100</v>
      </c>
      <c r="C3">
        <v>122.9</v>
      </c>
      <c r="D3">
        <v>22.9</v>
      </c>
    </row>
    <row r="4" spans="1:4" x14ac:dyDescent="0.3">
      <c r="A4" t="s">
        <v>15</v>
      </c>
      <c r="B4">
        <v>100</v>
      </c>
      <c r="C4">
        <v>116.9</v>
      </c>
      <c r="D4">
        <v>16.899999999999999</v>
      </c>
    </row>
    <row r="5" spans="1:4" x14ac:dyDescent="0.3">
      <c r="A5" t="s">
        <v>18</v>
      </c>
      <c r="B5">
        <v>100</v>
      </c>
      <c r="C5">
        <v>112.6</v>
      </c>
      <c r="D5">
        <v>12.6</v>
      </c>
    </row>
    <row r="6" spans="1:4" x14ac:dyDescent="0.3">
      <c r="A6" t="s">
        <v>16</v>
      </c>
      <c r="B6">
        <v>100</v>
      </c>
      <c r="C6">
        <v>104.6</v>
      </c>
      <c r="D6">
        <v>4.5999999999999996</v>
      </c>
    </row>
    <row r="7" spans="1:4" x14ac:dyDescent="0.3">
      <c r="A7" t="s">
        <v>19</v>
      </c>
      <c r="B7">
        <v>100</v>
      </c>
      <c r="C7">
        <v>97.8</v>
      </c>
      <c r="D7">
        <v>-2.2000000000000002</v>
      </c>
    </row>
    <row r="8" spans="1:4" x14ac:dyDescent="0.3">
      <c r="A8" t="s">
        <v>20</v>
      </c>
      <c r="B8">
        <v>100</v>
      </c>
      <c r="C8">
        <v>97.1</v>
      </c>
      <c r="D8">
        <v>-2.9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"/>
  <sheetViews>
    <sheetView workbookViewId="0">
      <selection sqref="A1:C8"/>
    </sheetView>
  </sheetViews>
  <sheetFormatPr defaultRowHeight="14.4" x14ac:dyDescent="0.3"/>
  <sheetData>
    <row r="1" spans="1:4" x14ac:dyDescent="0.3">
      <c r="A1" s="2" t="s">
        <v>13</v>
      </c>
      <c r="B1" s="2" t="s">
        <v>27</v>
      </c>
      <c r="C1" s="2" t="s">
        <v>26</v>
      </c>
      <c r="D1" s="2" t="s">
        <v>28</v>
      </c>
    </row>
    <row r="2" spans="1:4" x14ac:dyDescent="0.3">
      <c r="A2" t="s">
        <v>14</v>
      </c>
      <c r="B2">
        <v>125</v>
      </c>
      <c r="C2">
        <v>84.3</v>
      </c>
      <c r="D2">
        <v>40.700000000000003</v>
      </c>
    </row>
    <row r="3" spans="1:4" x14ac:dyDescent="0.3">
      <c r="A3" t="s">
        <v>20</v>
      </c>
      <c r="B3">
        <v>17.899999999999999</v>
      </c>
      <c r="C3">
        <v>-2.9</v>
      </c>
      <c r="D3">
        <v>20.8</v>
      </c>
    </row>
    <row r="4" spans="1:4" x14ac:dyDescent="0.3">
      <c r="A4" t="s">
        <v>16</v>
      </c>
      <c r="B4">
        <v>24.7</v>
      </c>
      <c r="C4">
        <v>4.5999999999999996</v>
      </c>
      <c r="D4">
        <v>20.100000000000001</v>
      </c>
    </row>
    <row r="5" spans="1:4" x14ac:dyDescent="0.3">
      <c r="A5" t="s">
        <v>15</v>
      </c>
      <c r="B5">
        <v>32.5</v>
      </c>
      <c r="C5">
        <v>16.899999999999999</v>
      </c>
      <c r="D5">
        <v>15.6</v>
      </c>
    </row>
    <row r="6" spans="1:4" x14ac:dyDescent="0.3">
      <c r="A6" t="s">
        <v>19</v>
      </c>
      <c r="B6">
        <v>6.6</v>
      </c>
      <c r="C6">
        <v>-2.2000000000000002</v>
      </c>
      <c r="D6">
        <v>8.8000000000000007</v>
      </c>
    </row>
    <row r="7" spans="1:4" x14ac:dyDescent="0.3">
      <c r="A7" t="s">
        <v>18</v>
      </c>
      <c r="B7">
        <v>20.5</v>
      </c>
      <c r="C7">
        <v>12.6</v>
      </c>
      <c r="D7">
        <v>7.9</v>
      </c>
    </row>
    <row r="8" spans="1:4" x14ac:dyDescent="0.3">
      <c r="A8" t="s">
        <v>17</v>
      </c>
      <c r="B8">
        <v>21.2</v>
      </c>
      <c r="C8">
        <v>22.9</v>
      </c>
      <c r="D8">
        <v>-1.7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Overall Trend</vt:lpstr>
      <vt:lpstr>Value Volume Gap</vt:lpstr>
      <vt:lpstr>Top 5 Sectors</vt:lpstr>
      <vt:lpstr>Bottom 5 Sectors</vt:lpstr>
      <vt:lpstr>Value Growth</vt:lpstr>
      <vt:lpstr>Volume Growth</vt:lpstr>
      <vt:lpstr>Growth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Vishwajeet Khalate</cp:lastModifiedBy>
  <dcterms:created xsi:type="dcterms:W3CDTF">2026-06-17T21:13:17Z</dcterms:created>
  <dcterms:modified xsi:type="dcterms:W3CDTF">2026-06-22T12:18:02Z</dcterms:modified>
</cp:coreProperties>
</file>